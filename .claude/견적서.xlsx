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내 드라이브\00. Paullab\03. 사업 문서\676. RISE 사업\1. 운영\0. 계약 필요 서류\구직자 대상 AI SW 개발 실무 교육 프로그램 운영\"/>
    </mc:Choice>
  </mc:AlternateContent>
  <xr:revisionPtr revIDLastSave="0" documentId="13_ncr:1_{939FEE5D-EFA6-46CB-BD01-DC703D7C60E9}" xr6:coauthVersionLast="47" xr6:coauthVersionMax="47" xr10:uidLastSave="{00000000-0000-0000-0000-000000000000}"/>
  <bookViews>
    <workbookView xWindow="38290" yWindow="-110" windowWidth="38620" windowHeight="21820" xr2:uid="{00000000-000D-0000-FFFF-FFFF00000000}"/>
  </bookViews>
  <sheets>
    <sheet name="견적서_위니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28" i="1"/>
  <c r="J15" i="1"/>
  <c r="J39" i="1" l="1"/>
  <c r="J38" i="1" l="1"/>
  <c r="J37" i="1" l="1"/>
  <c r="J27" i="1"/>
  <c r="J26" i="1"/>
  <c r="J25" i="1"/>
  <c r="J22" i="1"/>
  <c r="J24" i="1" s="1"/>
  <c r="J14" i="1"/>
  <c r="J13" i="1"/>
  <c r="J36" i="1" l="1"/>
  <c r="J19" i="1"/>
  <c r="J21" i="1"/>
  <c r="J33" i="1"/>
  <c r="J40" i="1"/>
  <c r="J41" i="1" l="1"/>
  <c r="J42" i="1" s="1"/>
  <c r="J43" i="1" s="1"/>
  <c r="I10" i="1" s="1"/>
</calcChain>
</file>

<file path=xl/sharedStrings.xml><?xml version="1.0" encoding="utf-8"?>
<sst xmlns="http://schemas.openxmlformats.org/spreadsheetml/2006/main" count="76" uniqueCount="68">
  <si>
    <t xml:space="preserve">    견 적 서</t>
  </si>
  <si>
    <t>공급자</t>
  </si>
  <si>
    <t>상호</t>
  </si>
  <si>
    <t xml:space="preserve"> </t>
  </si>
  <si>
    <t>㈜ 위니브</t>
  </si>
  <si>
    <t>대표자</t>
  </si>
  <si>
    <t>이호준    (인)</t>
  </si>
  <si>
    <t>사업자등록번호</t>
  </si>
  <si>
    <t>546-86-01737</t>
  </si>
  <si>
    <t xml:space="preserve">견적일 </t>
  </si>
  <si>
    <t>주소</t>
  </si>
  <si>
    <t>제주특별자치도 제주시 첨단로 330 세미양빌딩 A동 1층 106호</t>
  </si>
  <si>
    <t>유효기간</t>
  </si>
  <si>
    <t>견적일로부터 3개월</t>
  </si>
  <si>
    <t>전화</t>
  </si>
  <si>
    <t>010-5044-2903</t>
  </si>
  <si>
    <t xml:space="preserve">견적금액 (공급가액, VAT 포함) </t>
  </si>
  <si>
    <t>항목</t>
  </si>
  <si>
    <t>세부 내역</t>
  </si>
  <si>
    <t>수량</t>
  </si>
  <si>
    <t>단가</t>
  </si>
  <si>
    <t>공급가액</t>
  </si>
  <si>
    <t>비고</t>
  </si>
  <si>
    <t>인건비</t>
  </si>
  <si>
    <t>운영 총괄</t>
  </si>
  <si>
    <t>명 ×</t>
  </si>
  <si>
    <t>개월 ×</t>
  </si>
  <si>
    <t>임차비</t>
  </si>
  <si>
    <t>소계2</t>
  </si>
  <si>
    <t>주</t>
  </si>
  <si>
    <t>소계3</t>
  </si>
  <si>
    <t>현수막</t>
  </si>
  <si>
    <t>포스터</t>
  </si>
  <si>
    <t>X-배너</t>
  </si>
  <si>
    <t>디자인비</t>
  </si>
  <si>
    <t>소계4</t>
  </si>
  <si>
    <t>식다과비</t>
  </si>
  <si>
    <t>다과비</t>
  </si>
  <si>
    <t>소계5</t>
  </si>
  <si>
    <t>행사부대비용</t>
  </si>
  <si>
    <t>온라인 콘텐츠 제공</t>
  </si>
  <si>
    <t>식 ×</t>
  </si>
  <si>
    <t>사무용품</t>
  </si>
  <si>
    <t>소계총합</t>
  </si>
  <si>
    <t>부가세</t>
  </si>
  <si>
    <t>합계액의 10%</t>
  </si>
  <si>
    <t>합계</t>
  </si>
  <si>
    <t>(만 단위 
이하 절사)</t>
  </si>
  <si>
    <t>강사</t>
    <phoneticPr fontId="15" type="noConversion"/>
  </si>
  <si>
    <r>
      <rPr>
        <sz val="7"/>
        <color theme="1"/>
        <rFont val="Batang"/>
        <family val="1"/>
        <charset val="129"/>
      </rPr>
      <t>시간</t>
    </r>
    <r>
      <rPr>
        <sz val="7"/>
        <color theme="1"/>
        <rFont val="Times New Roman"/>
        <family val="1"/>
      </rPr>
      <t xml:space="preserve"> ×</t>
    </r>
  </si>
  <si>
    <r>
      <rPr>
        <b/>
        <sz val="8"/>
        <color theme="1"/>
        <rFont val="Batang"/>
        <family val="1"/>
        <charset val="129"/>
      </rPr>
      <t>소계</t>
    </r>
    <r>
      <rPr>
        <b/>
        <sz val="8"/>
        <color theme="1"/>
        <rFont val="Times New Roman"/>
        <family val="1"/>
      </rPr>
      <t>1</t>
    </r>
  </si>
  <si>
    <r>
      <rPr>
        <sz val="7"/>
        <color theme="1"/>
        <rFont val="Batang"/>
        <family val="1"/>
        <charset val="129"/>
      </rPr>
      <t>일</t>
    </r>
    <r>
      <rPr>
        <sz val="7"/>
        <color theme="1"/>
        <rFont val="Times New Roman"/>
        <family val="1"/>
      </rPr>
      <t xml:space="preserve"> ×</t>
    </r>
  </si>
  <si>
    <r>
      <rPr>
        <sz val="7"/>
        <color theme="1"/>
        <rFont val="Batang"/>
        <family val="1"/>
        <charset val="129"/>
      </rPr>
      <t>건</t>
    </r>
    <r>
      <rPr>
        <sz val="7"/>
        <color theme="1"/>
        <rFont val="Times New Roman"/>
        <family val="1"/>
      </rPr>
      <t xml:space="preserve"> ×</t>
    </r>
  </si>
  <si>
    <r>
      <rPr>
        <sz val="8"/>
        <color theme="1"/>
        <rFont val="Batang"/>
        <family val="1"/>
        <charset val="129"/>
      </rPr>
      <t>인쇄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Batang"/>
        <family val="1"/>
        <charset val="129"/>
      </rPr>
      <t>제작비</t>
    </r>
  </si>
  <si>
    <r>
      <rPr>
        <sz val="7"/>
        <color theme="1"/>
        <rFont val="Batang"/>
        <family val="1"/>
        <charset val="129"/>
      </rPr>
      <t>종</t>
    </r>
    <r>
      <rPr>
        <sz val="7"/>
        <color theme="1"/>
        <rFont val="Times New Roman"/>
        <family val="1"/>
      </rPr>
      <t xml:space="preserve"> ×</t>
    </r>
  </si>
  <si>
    <r>
      <rPr>
        <sz val="7"/>
        <color theme="1"/>
        <rFont val="Batang"/>
        <family val="1"/>
        <charset val="129"/>
      </rPr>
      <t>개</t>
    </r>
    <r>
      <rPr>
        <sz val="7"/>
        <color theme="1"/>
        <rFont val="Times New Roman"/>
        <family val="1"/>
      </rPr>
      <t xml:space="preserve"> ×</t>
    </r>
  </si>
  <si>
    <r>
      <rPr>
        <sz val="7"/>
        <color theme="1"/>
        <rFont val="Batang"/>
        <family val="1"/>
        <charset val="129"/>
      </rPr>
      <t>장</t>
    </r>
    <r>
      <rPr>
        <sz val="7"/>
        <color theme="1"/>
        <rFont val="Times New Roman"/>
        <family val="1"/>
      </rPr>
      <t xml:space="preserve"> ×</t>
    </r>
  </si>
  <si>
    <r>
      <rPr>
        <sz val="7"/>
        <color theme="1"/>
        <rFont val="Batang"/>
        <family val="1"/>
        <charset val="129"/>
      </rPr>
      <t>건</t>
    </r>
    <r>
      <rPr>
        <sz val="7"/>
        <color theme="1"/>
        <rFont val="Times New Roman"/>
        <family val="1"/>
      </rPr>
      <t>×</t>
    </r>
  </si>
  <si>
    <r>
      <rPr>
        <sz val="7"/>
        <color theme="1"/>
        <rFont val="Batang"/>
        <family val="1"/>
        <charset val="129"/>
      </rPr>
      <t>명</t>
    </r>
    <r>
      <rPr>
        <sz val="7"/>
        <color theme="1"/>
        <rFont val="Times New Roman"/>
        <family val="1"/>
      </rPr>
      <t xml:space="preserve"> ×</t>
    </r>
  </si>
  <si>
    <r>
      <rPr>
        <sz val="7"/>
        <color theme="1"/>
        <rFont val="Batang"/>
        <family val="1"/>
        <charset val="129"/>
      </rPr>
      <t>식</t>
    </r>
    <r>
      <rPr>
        <sz val="7"/>
        <color theme="1"/>
        <rFont val="Times New Roman"/>
        <family val="1"/>
      </rPr>
      <t xml:space="preserve"> ×</t>
    </r>
  </si>
  <si>
    <r>
      <rPr>
        <sz val="8"/>
        <color theme="1"/>
        <rFont val="Batang"/>
        <family val="1"/>
        <charset val="129"/>
      </rPr>
      <t>기타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Batang"/>
        <family val="1"/>
        <charset val="129"/>
      </rPr>
      <t>운영비</t>
    </r>
    <phoneticPr fontId="15" type="noConversion"/>
  </si>
  <si>
    <t>소계6</t>
    <phoneticPr fontId="15" type="noConversion"/>
  </si>
  <si>
    <r>
      <rPr>
        <b/>
        <sz val="8"/>
        <color rgb="FF000000"/>
        <rFont val="Batang"/>
        <family val="1"/>
        <charset val="129"/>
      </rPr>
      <t>소계</t>
    </r>
    <r>
      <rPr>
        <b/>
        <sz val="8"/>
        <color rgb="FF000000"/>
        <rFont val="Times New Roman"/>
        <family val="1"/>
      </rPr>
      <t>1+</t>
    </r>
    <r>
      <rPr>
        <b/>
        <sz val="8"/>
        <color rgb="FF000000"/>
        <rFont val="Batang"/>
        <family val="1"/>
        <charset val="129"/>
      </rPr>
      <t>소계</t>
    </r>
    <r>
      <rPr>
        <b/>
        <sz val="8"/>
        <color rgb="FF000000"/>
        <rFont val="Times New Roman"/>
        <family val="1"/>
      </rPr>
      <t>2+</t>
    </r>
    <r>
      <rPr>
        <b/>
        <sz val="8"/>
        <color rgb="FF000000"/>
        <rFont val="Batang"/>
        <family val="1"/>
        <charset val="129"/>
      </rPr>
      <t>소계</t>
    </r>
    <r>
      <rPr>
        <b/>
        <sz val="8"/>
        <color rgb="FF000000"/>
        <rFont val="Times New Roman"/>
        <family val="1"/>
      </rPr>
      <t>3+</t>
    </r>
    <r>
      <rPr>
        <b/>
        <sz val="8"/>
        <color rgb="FF000000"/>
        <rFont val="Batang"/>
        <family val="1"/>
        <charset val="129"/>
      </rPr>
      <t>소계</t>
    </r>
    <r>
      <rPr>
        <b/>
        <sz val="8"/>
        <color rgb="FF000000"/>
        <rFont val="Times New Roman"/>
        <family val="1"/>
      </rPr>
      <t>4+</t>
    </r>
    <r>
      <rPr>
        <b/>
        <sz val="8"/>
        <color rgb="FF000000"/>
        <rFont val="Batang"/>
        <family val="1"/>
        <charset val="129"/>
      </rPr>
      <t>소계5</t>
    </r>
    <r>
      <rPr>
        <b/>
        <sz val="8"/>
        <color rgb="FF000000"/>
        <rFont val="Times New Roman"/>
        <family val="1"/>
      </rPr>
      <t>+</t>
    </r>
    <r>
      <rPr>
        <b/>
        <sz val="8"/>
        <color rgb="FF000000"/>
        <rFont val="Batang"/>
        <family val="1"/>
        <charset val="129"/>
      </rPr>
      <t>소계6</t>
    </r>
    <phoneticPr fontId="15" type="noConversion"/>
  </si>
  <si>
    <t>멘토</t>
    <phoneticPr fontId="15" type="noConversion"/>
  </si>
  <si>
    <t>자문비</t>
    <phoneticPr fontId="15" type="noConversion"/>
  </si>
  <si>
    <t>커리큘럼 자문비(제주대)</t>
    <phoneticPr fontId="15" type="noConversion"/>
  </si>
  <si>
    <r>
      <rPr>
        <sz val="8"/>
        <color theme="1"/>
        <rFont val="Batang"/>
        <family val="1"/>
        <charset val="129"/>
      </rPr>
      <t>스탭</t>
    </r>
    <r>
      <rPr>
        <sz val="8"/>
        <color theme="1"/>
        <rFont val="Times New Roman"/>
        <family val="1"/>
      </rPr>
      <t xml:space="preserve">, </t>
    </r>
    <r>
      <rPr>
        <sz val="8"/>
        <color theme="1"/>
        <rFont val="Batang"/>
        <family val="1"/>
        <charset val="129"/>
      </rPr>
      <t>멘토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Batang"/>
        <family val="1"/>
        <charset val="129"/>
      </rPr>
      <t>등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Batang"/>
        <family val="1"/>
        <charset val="129"/>
      </rPr>
      <t>운영진 포함</t>
    </r>
    <phoneticPr fontId="15" type="noConversion"/>
  </si>
  <si>
    <r>
      <t xml:space="preserve">* </t>
    </r>
    <r>
      <rPr>
        <sz val="6"/>
        <color rgb="FF000000"/>
        <rFont val="맑은 고딕"/>
        <family val="1"/>
        <charset val="129"/>
      </rPr>
      <t>온라인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콘텐츠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제공</t>
    </r>
    <r>
      <rPr>
        <sz val="6"/>
        <color rgb="FF000000"/>
        <rFont val="Times New Roman"/>
        <family val="1"/>
      </rPr>
      <t xml:space="preserve">: </t>
    </r>
    <r>
      <rPr>
        <sz val="6"/>
        <color rgb="FF000000"/>
        <rFont val="맑은 고딕"/>
        <family val="1"/>
        <charset val="129"/>
      </rPr>
      <t>온라인에서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언제든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수강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가능한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평생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강의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맑은 고딕"/>
        <family val="1"/>
        <charset val="129"/>
      </rPr>
      <t>수강권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</si>
</sst>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yyyy&quot;년 &quot;m&quot;월 &quot;d&quot;일&quot;"/>
    <numFmt numFmtId="179" formatCode="&quot;₩&quot;#,##0"/>
    <numFmt numFmtId="180" formatCode="&quot; ₩&quot;* #,##0&quot; &quot;;&quot;-₩&quot;* #,##0&quot; &quot;;&quot; ₩&quot;* &quot;- &quot;"/>
    <numFmt numFmtId="181" formatCode="&quot; &quot;* #,##0&quot; &quot;;&quot;-&quot;* #,##0&quot; &quot;;&quot; &quot;* &quot;- &quot;"/>
  </numFmts>
  <fonts count="30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22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Malgun Gothic"/>
      <family val="2"/>
      <charset val="129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FF"/>
      <name val="Times New Roman"/>
      <family val="1"/>
    </font>
    <font>
      <sz val="8"/>
      <color rgb="FF000000"/>
      <name val="Batang"/>
      <family val="1"/>
      <charset val="129"/>
    </font>
    <font>
      <b/>
      <sz val="8"/>
      <color rgb="FF000000"/>
      <name val="Times New Roman"/>
      <family val="1"/>
    </font>
    <font>
      <b/>
      <sz val="8"/>
      <color rgb="FF000000"/>
      <name val="Batang"/>
      <family val="1"/>
      <charset val="129"/>
    </font>
    <font>
      <sz val="6"/>
      <color rgb="FF000000"/>
      <name val="Times New Roman"/>
      <family val="1"/>
    </font>
    <font>
      <sz val="8"/>
      <name val="Arial"/>
      <family val="3"/>
      <charset val="129"/>
      <scheme val="minor"/>
    </font>
    <font>
      <sz val="8"/>
      <color rgb="FF000000"/>
      <name val="Times New Roman"/>
      <family val="1"/>
      <charset val="129"/>
    </font>
    <font>
      <sz val="9"/>
      <color rgb="FF000000"/>
      <name val="Batang"/>
      <family val="1"/>
      <charset val="129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Arial"/>
      <family val="2"/>
    </font>
    <font>
      <sz val="8"/>
      <color theme="1"/>
      <name val="Batang"/>
      <family val="1"/>
      <charset val="129"/>
    </font>
    <font>
      <sz val="7"/>
      <color theme="1"/>
      <name val="Batang"/>
      <family val="1"/>
      <charset val="129"/>
    </font>
    <font>
      <sz val="7"/>
      <color theme="1"/>
      <name val="Times New Roman"/>
      <family val="1"/>
      <charset val="129"/>
    </font>
    <font>
      <b/>
      <sz val="8"/>
      <color theme="1"/>
      <name val="Times New Roman"/>
      <family val="1"/>
    </font>
    <font>
      <b/>
      <sz val="8"/>
      <color theme="1"/>
      <name val="Batang"/>
      <family val="1"/>
      <charset val="129"/>
    </font>
    <font>
      <sz val="8"/>
      <color theme="1"/>
      <name val="Times New Roman"/>
      <family val="1"/>
      <charset val="129"/>
    </font>
    <font>
      <b/>
      <sz val="8"/>
      <color rgb="FF000000"/>
      <name val="Times New Roman"/>
      <family val="1"/>
      <charset val="129"/>
    </font>
    <font>
      <sz val="8"/>
      <color theme="1"/>
      <name val="바탕"/>
      <family val="1"/>
      <charset val="129"/>
    </font>
    <font>
      <sz val="6"/>
      <color rgb="FF000000"/>
      <name val="맑은 고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D9D9D9"/>
        <bgColor rgb="FFD9D9D9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AAAAAA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/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49" fontId="3" fillId="2" borderId="10" xfId="0" applyNumberFormat="1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49" fontId="4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left" vertical="center"/>
    </xf>
    <xf numFmtId="178" fontId="3" fillId="0" borderId="15" xfId="0" applyNumberFormat="1" applyFont="1" applyBorder="1" applyAlignment="1">
      <alignment horizontal="left" vertical="center"/>
    </xf>
    <xf numFmtId="49" fontId="4" fillId="3" borderId="16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4" fillId="0" borderId="2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49" fontId="1" fillId="4" borderId="23" xfId="0" applyNumberFormat="1" applyFont="1" applyFill="1" applyBorder="1" applyAlignment="1">
      <alignment vertical="center"/>
    </xf>
    <xf numFmtId="0" fontId="1" fillId="4" borderId="24" xfId="0" applyFont="1" applyFill="1" applyBorder="1" applyAlignment="1">
      <alignment vertical="center"/>
    </xf>
    <xf numFmtId="0" fontId="4" fillId="4" borderId="24" xfId="0" applyFont="1" applyFill="1" applyBorder="1" applyAlignment="1">
      <alignment horizontal="left" vertical="center"/>
    </xf>
    <xf numFmtId="179" fontId="1" fillId="4" borderId="24" xfId="0" applyNumberFormat="1" applyFont="1" applyFill="1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179" fontId="1" fillId="0" borderId="15" xfId="0" applyNumberFormat="1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49" fontId="8" fillId="2" borderId="29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181" fontId="9" fillId="0" borderId="29" xfId="0" applyNumberFormat="1" applyFont="1" applyBorder="1" applyAlignment="1">
      <alignment vertical="center"/>
    </xf>
    <xf numFmtId="0" fontId="10" fillId="0" borderId="29" xfId="0" applyFont="1" applyBorder="1" applyAlignment="1">
      <alignment horizontal="center" vertical="center"/>
    </xf>
    <xf numFmtId="181" fontId="9" fillId="0" borderId="29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181" fontId="12" fillId="5" borderId="29" xfId="0" applyNumberFormat="1" applyFont="1" applyFill="1" applyBorder="1" applyAlignment="1">
      <alignment vertical="center"/>
    </xf>
    <xf numFmtId="181" fontId="12" fillId="4" borderId="29" xfId="0" applyNumberFormat="1" applyFont="1" applyFill="1" applyBorder="1" applyAlignment="1">
      <alignment vertical="center"/>
    </xf>
    <xf numFmtId="49" fontId="14" fillId="4" borderId="29" xfId="0" applyNumberFormat="1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6" fillId="0" borderId="29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vertical="center"/>
    </xf>
    <xf numFmtId="49" fontId="17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0" fontId="16" fillId="0" borderId="29" xfId="0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right" vertical="center"/>
    </xf>
    <xf numFmtId="49" fontId="19" fillId="0" borderId="12" xfId="0" applyNumberFormat="1" applyFont="1" applyBorder="1" applyAlignment="1">
      <alignment horizontal="left" vertical="center"/>
    </xf>
    <xf numFmtId="0" fontId="19" fillId="0" borderId="12" xfId="0" applyFont="1" applyBorder="1" applyAlignment="1">
      <alignment horizontal="right" vertical="center"/>
    </xf>
    <xf numFmtId="9" fontId="19" fillId="0" borderId="12" xfId="0" applyNumberFormat="1" applyFont="1" applyBorder="1" applyAlignment="1">
      <alignment horizontal="right" vertical="center"/>
    </xf>
    <xf numFmtId="49" fontId="19" fillId="0" borderId="31" xfId="0" applyNumberFormat="1" applyFont="1" applyBorder="1" applyAlignment="1">
      <alignment horizontal="left" vertical="center"/>
    </xf>
    <xf numFmtId="181" fontId="18" fillId="0" borderId="29" xfId="0" applyNumberFormat="1" applyFont="1" applyBorder="1" applyAlignment="1">
      <alignment horizontal="right" vertical="center"/>
    </xf>
    <xf numFmtId="181" fontId="18" fillId="0" borderId="29" xfId="0" applyNumberFormat="1" applyFont="1" applyBorder="1" applyAlignment="1">
      <alignment vertical="center"/>
    </xf>
    <xf numFmtId="49" fontId="21" fillId="0" borderId="29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49" fontId="23" fillId="0" borderId="12" xfId="0" applyNumberFormat="1" applyFont="1" applyBorder="1" applyAlignment="1">
      <alignment horizontal="left" vertical="center"/>
    </xf>
    <xf numFmtId="49" fontId="21" fillId="0" borderId="35" xfId="0" applyNumberFormat="1" applyFont="1" applyBorder="1" applyAlignment="1">
      <alignment horizontal="center" vertical="center"/>
    </xf>
    <xf numFmtId="181" fontId="24" fillId="2" borderId="29" xfId="0" applyNumberFormat="1" applyFont="1" applyFill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3" fontId="18" fillId="0" borderId="29" xfId="0" applyNumberFormat="1" applyFont="1" applyBorder="1" applyAlignment="1">
      <alignment horizontal="right" vertical="center"/>
    </xf>
    <xf numFmtId="181" fontId="18" fillId="0" borderId="29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49" fontId="18" fillId="0" borderId="29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/>
    </xf>
    <xf numFmtId="49" fontId="26" fillId="0" borderId="29" xfId="0" applyNumberFormat="1" applyFont="1" applyBorder="1" applyAlignment="1">
      <alignment horizontal="center" vertical="center"/>
    </xf>
    <xf numFmtId="181" fontId="10" fillId="0" borderId="29" xfId="0" applyNumberFormat="1" applyFont="1" applyBorder="1" applyAlignment="1">
      <alignment vertical="center"/>
    </xf>
    <xf numFmtId="0" fontId="11" fillId="0" borderId="29" xfId="0" applyFont="1" applyBorder="1" applyAlignment="1">
      <alignment horizontal="center" vertical="center" wrapText="1"/>
    </xf>
    <xf numFmtId="181" fontId="10" fillId="0" borderId="29" xfId="0" applyNumberFormat="1" applyFont="1" applyBorder="1" applyAlignment="1">
      <alignment horizontal="center" vertical="center"/>
    </xf>
    <xf numFmtId="49" fontId="4" fillId="3" borderId="17" xfId="0" applyNumberFormat="1" applyFont="1" applyFill="1" applyBorder="1" applyAlignment="1">
      <alignment horizontal="left" vertical="center" wrapText="1"/>
    </xf>
    <xf numFmtId="0" fontId="5" fillId="0" borderId="12" xfId="0" applyFont="1" applyBorder="1"/>
    <xf numFmtId="0" fontId="5" fillId="0" borderId="13" xfId="0" applyFont="1" applyBorder="1"/>
    <xf numFmtId="180" fontId="8" fillId="4" borderId="25" xfId="0" applyNumberFormat="1" applyFont="1" applyFill="1" applyBorder="1" applyAlignment="1">
      <alignment horizontal="center" vertical="center"/>
    </xf>
    <xf numFmtId="0" fontId="5" fillId="0" borderId="26" xfId="0" applyFont="1" applyBorder="1"/>
    <xf numFmtId="0" fontId="5" fillId="0" borderId="27" xfId="0" applyFont="1" applyBorder="1"/>
    <xf numFmtId="49" fontId="8" fillId="2" borderId="30" xfId="0" applyNumberFormat="1" applyFont="1" applyFill="1" applyBorder="1" applyAlignment="1">
      <alignment horizontal="center" vertical="center"/>
    </xf>
    <xf numFmtId="0" fontId="5" fillId="0" borderId="31" xfId="0" applyFont="1" applyBorder="1"/>
    <xf numFmtId="49" fontId="18" fillId="3" borderId="33" xfId="0" applyNumberFormat="1" applyFont="1" applyFill="1" applyBorder="1" applyAlignment="1">
      <alignment horizontal="center" vertical="center" wrapText="1"/>
    </xf>
    <xf numFmtId="0" fontId="20" fillId="0" borderId="34" xfId="0" applyFont="1" applyBorder="1"/>
    <xf numFmtId="0" fontId="20" fillId="0" borderId="35" xfId="0" applyFont="1" applyBorder="1"/>
    <xf numFmtId="49" fontId="24" fillId="2" borderId="30" xfId="0" applyNumberFormat="1" applyFont="1" applyFill="1" applyBorder="1" applyAlignment="1">
      <alignment horizontal="center" vertical="center"/>
    </xf>
    <xf numFmtId="0" fontId="20" fillId="0" borderId="12" xfId="0" applyFont="1" applyBorder="1"/>
    <xf numFmtId="0" fontId="20" fillId="0" borderId="31" xfId="0" applyFont="1" applyBorder="1"/>
    <xf numFmtId="49" fontId="21" fillId="3" borderId="33" xfId="0" applyNumberFormat="1" applyFont="1" applyFill="1" applyBorder="1" applyAlignment="1">
      <alignment horizontal="center" vertical="center" wrapText="1"/>
    </xf>
    <xf numFmtId="49" fontId="25" fillId="2" borderId="30" xfId="0" applyNumberFormat="1" applyFont="1" applyFill="1" applyBorder="1" applyAlignment="1">
      <alignment horizontal="center" vertical="center"/>
    </xf>
    <xf numFmtId="49" fontId="9" fillId="5" borderId="30" xfId="0" applyNumberFormat="1" applyFont="1" applyFill="1" applyBorder="1" applyAlignment="1">
      <alignment horizontal="center" vertical="center"/>
    </xf>
    <xf numFmtId="49" fontId="27" fillId="5" borderId="30" xfId="0" applyNumberFormat="1" applyFont="1" applyFill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49" fontId="12" fillId="4" borderId="30" xfId="0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49" fontId="28" fillId="3" borderId="33" xfId="0" applyNumberFormat="1" applyFont="1" applyFill="1" applyBorder="1" applyAlignment="1">
      <alignment horizontal="center" vertical="center" wrapText="1"/>
    </xf>
    <xf numFmtId="49" fontId="28" fillId="0" borderId="29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400050</xdr:colOff>
      <xdr:row>3</xdr:row>
      <xdr:rowOff>38100</xdr:rowOff>
    </xdr:from>
    <xdr:ext cx="542944" cy="552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74721" y="828998"/>
          <a:ext cx="542944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showGridLines="0" tabSelected="1" zoomScale="235" zoomScaleNormal="235" workbookViewId="0">
      <selection activeCell="B8" sqref="B8"/>
    </sheetView>
  </sheetViews>
  <sheetFormatPr defaultColWidth="12.6328125" defaultRowHeight="15.75" customHeight="1"/>
  <cols>
    <col min="1" max="1" width="9" customWidth="1"/>
    <col min="2" max="2" width="19.54296875" bestFit="1" customWidth="1"/>
    <col min="3" max="4" width="5.453125" customWidth="1"/>
    <col min="5" max="5" width="6.453125" customWidth="1"/>
    <col min="6" max="6" width="5.453125" customWidth="1"/>
    <col min="7" max="7" width="4.36328125" customWidth="1"/>
    <col min="8" max="8" width="5.1796875" customWidth="1"/>
    <col min="9" max="10" width="10.6328125" customWidth="1"/>
    <col min="11" max="11" width="13.453125" customWidth="1"/>
    <col min="12" max="26" width="7.81640625" customWidth="1"/>
  </cols>
  <sheetData>
    <row r="1" spans="1:26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spans="1:26" ht="31.5" customHeight="1">
      <c r="A2" s="7" t="s">
        <v>0</v>
      </c>
      <c r="B2" s="8"/>
      <c r="C2" s="8"/>
      <c r="D2" s="9"/>
      <c r="E2" s="9"/>
      <c r="F2" s="9"/>
      <c r="G2" s="9"/>
      <c r="H2" s="9"/>
      <c r="I2" s="9"/>
      <c r="J2" s="9"/>
      <c r="K2" s="10"/>
      <c r="L2" s="11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2"/>
    </row>
    <row r="3" spans="1:26" ht="16.5" customHeight="1">
      <c r="A3" s="11"/>
      <c r="B3" s="9"/>
      <c r="C3" s="9"/>
      <c r="D3" s="9"/>
      <c r="E3" s="9"/>
      <c r="F3" s="9"/>
      <c r="G3" s="9"/>
      <c r="H3" s="9"/>
      <c r="I3" s="9"/>
      <c r="J3" s="9"/>
      <c r="K3" s="10"/>
      <c r="L3" s="11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2"/>
    </row>
    <row r="4" spans="1:26" ht="16.5" customHeight="1">
      <c r="A4" s="11"/>
      <c r="B4" s="9"/>
      <c r="C4" s="9"/>
      <c r="D4" s="13" t="s">
        <v>1</v>
      </c>
      <c r="E4" s="14"/>
      <c r="F4" s="14"/>
      <c r="G4" s="14"/>
      <c r="H4" s="14"/>
      <c r="I4" s="14"/>
      <c r="J4" s="14"/>
      <c r="K4" s="15"/>
      <c r="L4" s="1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2"/>
    </row>
    <row r="5" spans="1:26" ht="16.5" customHeight="1">
      <c r="A5" s="11"/>
      <c r="B5" s="9"/>
      <c r="C5" s="9"/>
      <c r="D5" s="65" t="s">
        <v>2</v>
      </c>
      <c r="E5" s="65" t="s">
        <v>3</v>
      </c>
      <c r="F5" s="17" t="s">
        <v>4</v>
      </c>
      <c r="G5" s="18"/>
      <c r="H5" s="18"/>
      <c r="I5" s="17" t="s">
        <v>5</v>
      </c>
      <c r="J5" s="17" t="s">
        <v>6</v>
      </c>
      <c r="K5" s="19"/>
      <c r="L5" s="1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2"/>
    </row>
    <row r="6" spans="1:26" ht="16.5" customHeight="1">
      <c r="A6" s="11"/>
      <c r="B6" s="9"/>
      <c r="C6" s="9"/>
      <c r="D6" s="66" t="s">
        <v>7</v>
      </c>
      <c r="E6" s="67"/>
      <c r="F6" s="17" t="s">
        <v>8</v>
      </c>
      <c r="G6" s="18"/>
      <c r="H6" s="18"/>
      <c r="I6" s="18"/>
      <c r="J6" s="18"/>
      <c r="K6" s="19"/>
      <c r="L6" s="1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2"/>
    </row>
    <row r="7" spans="1:26" ht="16.5" customHeight="1">
      <c r="A7" s="20" t="s">
        <v>9</v>
      </c>
      <c r="B7" s="21">
        <v>45967</v>
      </c>
      <c r="C7" s="9"/>
      <c r="D7" s="65" t="s">
        <v>10</v>
      </c>
      <c r="E7" s="22"/>
      <c r="F7" s="94" t="s">
        <v>11</v>
      </c>
      <c r="G7" s="95"/>
      <c r="H7" s="95"/>
      <c r="I7" s="95"/>
      <c r="J7" s="95"/>
      <c r="K7" s="96"/>
      <c r="L7" s="11"/>
      <c r="M7" s="23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2"/>
    </row>
    <row r="8" spans="1:26" ht="16.5" customHeight="1">
      <c r="A8" s="24" t="s">
        <v>12</v>
      </c>
      <c r="B8" s="16" t="s">
        <v>13</v>
      </c>
      <c r="C8" s="9"/>
      <c r="D8" s="68" t="s">
        <v>14</v>
      </c>
      <c r="E8" s="68"/>
      <c r="F8" s="25" t="s">
        <v>15</v>
      </c>
      <c r="G8" s="25"/>
      <c r="H8" s="25"/>
      <c r="I8" s="26"/>
      <c r="J8" s="26"/>
      <c r="K8" s="27"/>
      <c r="L8" s="11"/>
      <c r="M8" s="9"/>
      <c r="N8" s="9"/>
      <c r="O8" s="28"/>
      <c r="P8" s="28"/>
      <c r="Q8" s="28"/>
      <c r="R8" s="28"/>
      <c r="S8" s="28"/>
      <c r="T8" s="9"/>
      <c r="U8" s="9"/>
      <c r="V8" s="9"/>
      <c r="W8" s="9"/>
      <c r="X8" s="9"/>
      <c r="Y8" s="9"/>
      <c r="Z8" s="12"/>
    </row>
    <row r="9" spans="1:26" ht="13.5" customHeight="1">
      <c r="A9" s="29"/>
      <c r="B9" s="30"/>
      <c r="C9" s="31"/>
      <c r="D9" s="32"/>
      <c r="E9" s="32"/>
      <c r="F9" s="32"/>
      <c r="G9" s="32"/>
      <c r="H9" s="33"/>
      <c r="I9" s="33"/>
      <c r="J9" s="33"/>
      <c r="K9" s="34"/>
      <c r="L9" s="11"/>
      <c r="M9" s="28"/>
      <c r="N9" s="9"/>
      <c r="O9" s="9"/>
      <c r="P9" s="28"/>
      <c r="Q9" s="28"/>
      <c r="R9" s="28"/>
      <c r="S9" s="28"/>
      <c r="T9" s="9"/>
      <c r="U9" s="9"/>
      <c r="V9" s="9"/>
      <c r="W9" s="9"/>
      <c r="X9" s="9"/>
      <c r="Y9" s="9"/>
      <c r="Z9" s="12"/>
    </row>
    <row r="10" spans="1:26" ht="28.5" customHeight="1">
      <c r="A10" s="35" t="s">
        <v>16</v>
      </c>
      <c r="B10" s="36"/>
      <c r="C10" s="36"/>
      <c r="D10" s="37"/>
      <c r="E10" s="37"/>
      <c r="F10" s="38"/>
      <c r="G10" s="38"/>
      <c r="H10" s="36"/>
      <c r="I10" s="97">
        <f>J43</f>
        <v>22000000</v>
      </c>
      <c r="J10" s="98"/>
      <c r="K10" s="99"/>
      <c r="L10" s="11"/>
      <c r="M10" s="9"/>
      <c r="N10" s="9"/>
      <c r="O10" s="9"/>
      <c r="P10" s="28"/>
      <c r="Q10" s="28"/>
      <c r="R10" s="28"/>
      <c r="S10" s="28"/>
      <c r="T10" s="9"/>
      <c r="U10" s="9"/>
      <c r="V10" s="9"/>
      <c r="W10" s="9"/>
      <c r="X10" s="9"/>
      <c r="Y10" s="9"/>
      <c r="Z10" s="12"/>
    </row>
    <row r="11" spans="1:26" ht="18.75" customHeight="1">
      <c r="A11" s="39"/>
      <c r="B11" s="40"/>
      <c r="C11" s="40"/>
      <c r="D11" s="41"/>
      <c r="E11" s="42"/>
      <c r="F11" s="43"/>
      <c r="G11" s="43"/>
      <c r="H11" s="40"/>
      <c r="I11" s="40"/>
      <c r="J11" s="43"/>
      <c r="K11" s="44"/>
      <c r="L11" s="11"/>
      <c r="M11" s="9"/>
      <c r="N11" s="9"/>
      <c r="O11" s="9"/>
      <c r="P11" s="28"/>
      <c r="Q11" s="28"/>
      <c r="R11" s="28"/>
      <c r="S11" s="28"/>
      <c r="T11" s="9"/>
      <c r="U11" s="9"/>
      <c r="V11" s="9"/>
      <c r="W11" s="9"/>
      <c r="X11" s="9"/>
      <c r="Y11" s="9"/>
      <c r="Z11" s="12"/>
    </row>
    <row r="12" spans="1:26" ht="18.75" customHeight="1">
      <c r="A12" s="45" t="s">
        <v>17</v>
      </c>
      <c r="B12" s="45" t="s">
        <v>18</v>
      </c>
      <c r="C12" s="100" t="s">
        <v>19</v>
      </c>
      <c r="D12" s="95"/>
      <c r="E12" s="95"/>
      <c r="F12" s="95"/>
      <c r="G12" s="95"/>
      <c r="H12" s="101"/>
      <c r="I12" s="45" t="s">
        <v>20</v>
      </c>
      <c r="J12" s="45" t="s">
        <v>21</v>
      </c>
      <c r="K12" s="45" t="s">
        <v>22</v>
      </c>
      <c r="L12" s="46"/>
      <c r="M12" s="28"/>
      <c r="N12" s="28"/>
      <c r="O12" s="28"/>
      <c r="P12" s="28"/>
      <c r="Q12" s="9"/>
      <c r="R12" s="9"/>
      <c r="S12" s="9"/>
      <c r="T12" s="9"/>
      <c r="U12" s="9"/>
      <c r="V12" s="9"/>
      <c r="W12" s="9"/>
      <c r="X12" s="9"/>
      <c r="Y12" s="9"/>
      <c r="Z12" s="12"/>
    </row>
    <row r="13" spans="1:26" ht="18.75" customHeight="1">
      <c r="A13" s="102" t="s">
        <v>23</v>
      </c>
      <c r="B13" s="70" t="s">
        <v>24</v>
      </c>
      <c r="C13" s="71">
        <v>1</v>
      </c>
      <c r="D13" s="72" t="s">
        <v>25</v>
      </c>
      <c r="E13" s="73">
        <v>1</v>
      </c>
      <c r="F13" s="72" t="s">
        <v>26</v>
      </c>
      <c r="G13" s="74"/>
      <c r="H13" s="75"/>
      <c r="I13" s="76">
        <v>2500000</v>
      </c>
      <c r="J13" s="77">
        <f>C13*I13*E13</f>
        <v>2500000</v>
      </c>
      <c r="K13" s="47"/>
      <c r="L13" s="46"/>
      <c r="M13" s="28"/>
      <c r="N13" s="28"/>
      <c r="O13" s="28"/>
      <c r="P13" s="28"/>
      <c r="Q13" s="9"/>
      <c r="R13" s="9"/>
      <c r="S13" s="9"/>
      <c r="T13" s="9"/>
      <c r="U13" s="9"/>
      <c r="V13" s="9"/>
      <c r="W13" s="9"/>
      <c r="X13" s="9"/>
      <c r="Y13" s="9"/>
      <c r="Z13" s="12"/>
    </row>
    <row r="14" spans="1:26" ht="18.75" customHeight="1">
      <c r="A14" s="103"/>
      <c r="B14" s="78" t="s">
        <v>63</v>
      </c>
      <c r="C14" s="71">
        <v>3</v>
      </c>
      <c r="D14" s="72" t="s">
        <v>25</v>
      </c>
      <c r="E14" s="73">
        <v>12</v>
      </c>
      <c r="F14" s="72" t="s">
        <v>49</v>
      </c>
      <c r="G14" s="74"/>
      <c r="H14" s="79"/>
      <c r="I14" s="76">
        <v>100000</v>
      </c>
      <c r="J14" s="77">
        <f t="shared" ref="J14" si="0">C14*E14*I14</f>
        <v>3600000</v>
      </c>
      <c r="K14" s="47"/>
      <c r="L14" s="46"/>
      <c r="M14" s="28"/>
      <c r="N14" s="28"/>
      <c r="O14" s="28"/>
      <c r="P14" s="28"/>
      <c r="Q14" s="9"/>
      <c r="R14" s="9"/>
      <c r="S14" s="9"/>
      <c r="T14" s="9"/>
      <c r="U14" s="9"/>
      <c r="V14" s="9"/>
      <c r="W14" s="9"/>
      <c r="X14" s="9"/>
      <c r="Y14" s="9"/>
      <c r="Z14" s="12"/>
    </row>
    <row r="15" spans="1:26" ht="18.75" customHeight="1">
      <c r="A15" s="103"/>
      <c r="B15" s="81" t="s">
        <v>48</v>
      </c>
      <c r="C15" s="71">
        <v>1</v>
      </c>
      <c r="D15" s="72" t="s">
        <v>25</v>
      </c>
      <c r="E15" s="73">
        <v>12</v>
      </c>
      <c r="F15" s="72" t="s">
        <v>49</v>
      </c>
      <c r="G15" s="74"/>
      <c r="H15" s="79"/>
      <c r="I15" s="76">
        <v>300000</v>
      </c>
      <c r="J15" s="77">
        <f>C15*E15*I15</f>
        <v>3600000</v>
      </c>
      <c r="K15" s="47"/>
      <c r="L15" s="46"/>
      <c r="M15" s="28"/>
      <c r="N15" s="28"/>
      <c r="O15" s="28"/>
      <c r="P15" s="28"/>
      <c r="Q15" s="9"/>
      <c r="R15" s="9"/>
      <c r="S15" s="9"/>
      <c r="T15" s="9"/>
      <c r="U15" s="9"/>
      <c r="V15" s="9"/>
      <c r="W15" s="9"/>
      <c r="X15" s="9"/>
      <c r="Y15" s="9"/>
      <c r="Z15" s="12"/>
    </row>
    <row r="16" spans="1:26" ht="18.75" customHeight="1">
      <c r="A16" s="103"/>
      <c r="B16" s="78"/>
      <c r="C16" s="71"/>
      <c r="D16" s="72"/>
      <c r="E16" s="73"/>
      <c r="F16" s="72"/>
      <c r="G16" s="74"/>
      <c r="H16" s="79"/>
      <c r="I16" s="76"/>
      <c r="J16" s="77"/>
      <c r="K16" s="49"/>
      <c r="L16" s="46"/>
      <c r="M16" s="28"/>
      <c r="N16" s="28"/>
      <c r="O16" s="28"/>
      <c r="P16" s="28"/>
      <c r="Q16" s="9"/>
      <c r="R16" s="9"/>
      <c r="S16" s="9"/>
      <c r="T16" s="9"/>
      <c r="U16" s="9"/>
      <c r="V16" s="9"/>
      <c r="W16" s="9"/>
      <c r="X16" s="9"/>
      <c r="Y16" s="9"/>
      <c r="Z16" s="12"/>
    </row>
    <row r="17" spans="1:26" ht="18.75" customHeight="1">
      <c r="A17" s="103"/>
      <c r="B17" s="78"/>
      <c r="C17" s="71"/>
      <c r="D17" s="80"/>
      <c r="E17" s="73"/>
      <c r="F17" s="72"/>
      <c r="G17" s="74"/>
      <c r="H17" s="79"/>
      <c r="I17" s="76"/>
      <c r="J17" s="77"/>
      <c r="K17" s="49"/>
      <c r="L17" s="46"/>
      <c r="M17" s="28"/>
      <c r="N17" s="28"/>
      <c r="O17" s="28"/>
      <c r="P17" s="28"/>
      <c r="Q17" s="9"/>
      <c r="R17" s="9"/>
      <c r="S17" s="9"/>
      <c r="T17" s="9"/>
      <c r="U17" s="9"/>
      <c r="V17" s="9"/>
      <c r="W17" s="9"/>
      <c r="X17" s="9"/>
      <c r="Y17" s="9"/>
      <c r="Z17" s="12"/>
    </row>
    <row r="18" spans="1:26" ht="18.75" customHeight="1">
      <c r="A18" s="103"/>
      <c r="B18" s="81"/>
      <c r="C18" s="71"/>
      <c r="D18" s="72"/>
      <c r="E18" s="73"/>
      <c r="F18" s="72"/>
      <c r="G18" s="74"/>
      <c r="H18" s="79"/>
      <c r="I18" s="76"/>
      <c r="J18" s="77"/>
      <c r="K18" s="69"/>
      <c r="L18" s="46"/>
      <c r="M18" s="28"/>
      <c r="N18" s="28"/>
      <c r="O18" s="28"/>
      <c r="P18" s="28"/>
      <c r="Q18" s="9"/>
      <c r="R18" s="9"/>
      <c r="S18" s="9"/>
      <c r="T18" s="9"/>
      <c r="U18" s="9"/>
      <c r="V18" s="9"/>
      <c r="W18" s="9"/>
      <c r="X18" s="9"/>
      <c r="Y18" s="9"/>
      <c r="Z18" s="12"/>
    </row>
    <row r="19" spans="1:26" ht="18.75" customHeight="1">
      <c r="A19" s="104"/>
      <c r="B19" s="105" t="s">
        <v>50</v>
      </c>
      <c r="C19" s="106"/>
      <c r="D19" s="106"/>
      <c r="E19" s="106"/>
      <c r="F19" s="106"/>
      <c r="G19" s="106"/>
      <c r="H19" s="106"/>
      <c r="I19" s="107"/>
      <c r="J19" s="82">
        <f>SUM(J13:J18)</f>
        <v>9700000</v>
      </c>
      <c r="K19" s="47"/>
      <c r="L19" s="46"/>
      <c r="M19" s="28"/>
      <c r="N19" s="28"/>
      <c r="O19" s="28"/>
      <c r="P19" s="28"/>
      <c r="Q19" s="9"/>
      <c r="R19" s="9"/>
      <c r="S19" s="9"/>
      <c r="T19" s="9"/>
      <c r="U19" s="9"/>
      <c r="V19" s="9"/>
      <c r="W19" s="9"/>
      <c r="X19" s="9"/>
      <c r="Y19" s="9"/>
      <c r="Z19" s="12"/>
    </row>
    <row r="20" spans="1:26" ht="18.75" customHeight="1">
      <c r="A20" s="108" t="s">
        <v>27</v>
      </c>
      <c r="B20" s="78"/>
      <c r="C20" s="71"/>
      <c r="D20" s="72"/>
      <c r="E20" s="73"/>
      <c r="F20" s="72"/>
      <c r="G20" s="83"/>
      <c r="H20" s="79"/>
      <c r="I20" s="84"/>
      <c r="J20" s="77">
        <v>0</v>
      </c>
      <c r="K20" s="47"/>
      <c r="L20" s="46"/>
      <c r="M20" s="28"/>
      <c r="N20" s="28"/>
      <c r="O20" s="28"/>
      <c r="P20" s="28"/>
      <c r="Q20" s="9"/>
      <c r="R20" s="9"/>
      <c r="S20" s="9"/>
      <c r="T20" s="9"/>
      <c r="U20" s="9"/>
      <c r="V20" s="9"/>
      <c r="W20" s="9"/>
      <c r="X20" s="9"/>
      <c r="Y20" s="9"/>
      <c r="Z20" s="12"/>
    </row>
    <row r="21" spans="1:26" ht="18.75" customHeight="1">
      <c r="A21" s="104"/>
      <c r="B21" s="105" t="s">
        <v>28</v>
      </c>
      <c r="C21" s="106"/>
      <c r="D21" s="106"/>
      <c r="E21" s="106"/>
      <c r="F21" s="106"/>
      <c r="G21" s="106"/>
      <c r="H21" s="106"/>
      <c r="I21" s="107"/>
      <c r="J21" s="82">
        <f>SUM(J20:J20)</f>
        <v>0</v>
      </c>
      <c r="K21" s="47"/>
      <c r="L21" s="46"/>
      <c r="M21" s="28"/>
      <c r="N21" s="28"/>
      <c r="O21" s="28"/>
      <c r="P21" s="28"/>
      <c r="Q21" s="9"/>
      <c r="R21" s="9"/>
      <c r="S21" s="9"/>
      <c r="T21" s="9"/>
      <c r="U21" s="9"/>
      <c r="V21" s="9"/>
      <c r="W21" s="9"/>
      <c r="X21" s="9"/>
      <c r="Y21" s="9"/>
      <c r="Z21" s="12"/>
    </row>
    <row r="22" spans="1:26" ht="18.75" customHeight="1">
      <c r="A22" s="115" t="s">
        <v>64</v>
      </c>
      <c r="B22" s="116" t="s">
        <v>65</v>
      </c>
      <c r="C22" s="71">
        <v>1</v>
      </c>
      <c r="D22" s="72" t="s">
        <v>52</v>
      </c>
      <c r="E22" s="73">
        <v>1</v>
      </c>
      <c r="F22" s="72" t="s">
        <v>29</v>
      </c>
      <c r="G22" s="83"/>
      <c r="H22" s="79"/>
      <c r="I22" s="84">
        <v>500000</v>
      </c>
      <c r="J22" s="77">
        <f>C22*E22*I22</f>
        <v>500000</v>
      </c>
      <c r="K22" s="47"/>
      <c r="L22" s="46"/>
      <c r="M22" s="28"/>
      <c r="N22" s="28"/>
      <c r="O22" s="28"/>
      <c r="P22" s="28"/>
      <c r="Q22" s="9"/>
      <c r="R22" s="9"/>
      <c r="S22" s="9"/>
      <c r="T22" s="9"/>
      <c r="U22" s="9"/>
      <c r="V22" s="9"/>
      <c r="W22" s="9"/>
      <c r="X22" s="9"/>
      <c r="Y22" s="9"/>
      <c r="Z22" s="12"/>
    </row>
    <row r="23" spans="1:26" ht="18.75" customHeight="1">
      <c r="A23" s="103"/>
      <c r="B23" s="78"/>
      <c r="C23" s="71"/>
      <c r="D23" s="72"/>
      <c r="E23" s="73"/>
      <c r="F23" s="72"/>
      <c r="G23" s="83"/>
      <c r="H23" s="79"/>
      <c r="I23" s="84"/>
      <c r="J23" s="77"/>
      <c r="K23" s="47"/>
      <c r="L23" s="46"/>
      <c r="M23" s="28"/>
      <c r="N23" s="28"/>
      <c r="O23" s="28"/>
      <c r="P23" s="28"/>
      <c r="Q23" s="9"/>
      <c r="R23" s="9"/>
      <c r="S23" s="9"/>
      <c r="T23" s="9"/>
      <c r="U23" s="9"/>
      <c r="V23" s="9"/>
      <c r="W23" s="9"/>
      <c r="X23" s="9"/>
      <c r="Y23" s="9"/>
      <c r="Z23" s="12"/>
    </row>
    <row r="24" spans="1:26" ht="18.75" customHeight="1">
      <c r="A24" s="104"/>
      <c r="B24" s="109" t="s">
        <v>30</v>
      </c>
      <c r="C24" s="106"/>
      <c r="D24" s="106"/>
      <c r="E24" s="106"/>
      <c r="F24" s="106"/>
      <c r="G24" s="106"/>
      <c r="H24" s="106"/>
      <c r="I24" s="107"/>
      <c r="J24" s="82">
        <f>SUM(J22:J23)</f>
        <v>500000</v>
      </c>
      <c r="K24" s="47"/>
      <c r="L24" s="4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2"/>
    </row>
    <row r="25" spans="1:26" ht="18.75" customHeight="1">
      <c r="A25" s="102" t="s">
        <v>53</v>
      </c>
      <c r="B25" s="70" t="s">
        <v>31</v>
      </c>
      <c r="C25" s="71">
        <v>1</v>
      </c>
      <c r="D25" s="72" t="s">
        <v>54</v>
      </c>
      <c r="E25" s="73">
        <v>1</v>
      </c>
      <c r="F25" s="72" t="s">
        <v>55</v>
      </c>
      <c r="G25" s="83"/>
      <c r="H25" s="79"/>
      <c r="I25" s="85">
        <v>150000</v>
      </c>
      <c r="J25" s="77">
        <f>C25*I25</f>
        <v>150000</v>
      </c>
      <c r="K25" s="47"/>
      <c r="L25" s="4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2"/>
    </row>
    <row r="26" spans="1:26" ht="18.75" customHeight="1">
      <c r="A26" s="103"/>
      <c r="B26" s="70" t="s">
        <v>32</v>
      </c>
      <c r="C26" s="71">
        <v>1</v>
      </c>
      <c r="D26" s="72" t="s">
        <v>54</v>
      </c>
      <c r="E26" s="73">
        <v>30</v>
      </c>
      <c r="F26" s="72" t="s">
        <v>56</v>
      </c>
      <c r="G26" s="83"/>
      <c r="H26" s="79"/>
      <c r="I26" s="85">
        <v>5000</v>
      </c>
      <c r="J26" s="77">
        <f t="shared" ref="J26:J28" si="1">C26*E26*I26</f>
        <v>150000</v>
      </c>
      <c r="K26" s="47"/>
      <c r="L26" s="4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2"/>
    </row>
    <row r="27" spans="1:26" ht="18.75" customHeight="1">
      <c r="A27" s="103"/>
      <c r="B27" s="70" t="s">
        <v>33</v>
      </c>
      <c r="C27" s="71">
        <v>1</v>
      </c>
      <c r="D27" s="72" t="s">
        <v>54</v>
      </c>
      <c r="E27" s="73">
        <v>4</v>
      </c>
      <c r="F27" s="72" t="s">
        <v>55</v>
      </c>
      <c r="G27" s="83"/>
      <c r="H27" s="79"/>
      <c r="I27" s="85">
        <v>100000</v>
      </c>
      <c r="J27" s="77">
        <f t="shared" si="1"/>
        <v>400000</v>
      </c>
      <c r="K27" s="47"/>
      <c r="L27" s="4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2"/>
    </row>
    <row r="28" spans="1:26" ht="18.75" customHeight="1">
      <c r="A28" s="103"/>
      <c r="B28" s="78" t="s">
        <v>34</v>
      </c>
      <c r="C28" s="71">
        <v>3</v>
      </c>
      <c r="D28" s="72" t="s">
        <v>57</v>
      </c>
      <c r="E28" s="73"/>
      <c r="F28" s="72"/>
      <c r="G28" s="86"/>
      <c r="H28" s="87"/>
      <c r="I28" s="77">
        <v>350000</v>
      </c>
      <c r="J28" s="77">
        <f>C28*I28</f>
        <v>1050000</v>
      </c>
      <c r="K28" s="47"/>
      <c r="L28" s="4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2"/>
    </row>
    <row r="29" spans="1:26" ht="18.75" customHeight="1">
      <c r="A29" s="103"/>
      <c r="B29" s="70"/>
      <c r="C29" s="71"/>
      <c r="D29" s="72"/>
      <c r="E29" s="73"/>
      <c r="F29" s="72"/>
      <c r="G29" s="86"/>
      <c r="H29" s="87"/>
      <c r="I29" s="77"/>
      <c r="J29" s="77"/>
      <c r="K29" s="51"/>
      <c r="L29" s="4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2"/>
    </row>
    <row r="30" spans="1:26" ht="18.75" customHeight="1">
      <c r="A30" s="103"/>
      <c r="B30" s="78"/>
      <c r="C30" s="71"/>
      <c r="D30" s="72"/>
      <c r="E30" s="73"/>
      <c r="F30" s="72"/>
      <c r="G30" s="86"/>
      <c r="H30" s="87"/>
      <c r="I30" s="91"/>
      <c r="J30" s="91"/>
      <c r="K30" s="51"/>
      <c r="L30" s="4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2"/>
    </row>
    <row r="31" spans="1:26" ht="25.5" customHeight="1">
      <c r="A31" s="103"/>
      <c r="B31" s="88"/>
      <c r="C31" s="71"/>
      <c r="D31" s="72"/>
      <c r="E31" s="73"/>
      <c r="F31" s="89"/>
      <c r="G31" s="86"/>
      <c r="H31" s="75"/>
      <c r="I31" s="77"/>
      <c r="J31" s="77"/>
      <c r="K31" s="64"/>
      <c r="L31" s="4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2"/>
    </row>
    <row r="32" spans="1:26" ht="18.75" customHeight="1">
      <c r="A32" s="103"/>
      <c r="B32" s="70"/>
      <c r="C32" s="71"/>
      <c r="D32" s="72"/>
      <c r="E32" s="73"/>
      <c r="F32" s="89"/>
      <c r="G32" s="86"/>
      <c r="H32" s="75"/>
      <c r="I32" s="93"/>
      <c r="J32" s="91"/>
      <c r="K32" s="47"/>
      <c r="L32" s="4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2"/>
    </row>
    <row r="33" spans="1:26" ht="18.75" customHeight="1">
      <c r="A33" s="104"/>
      <c r="B33" s="109" t="s">
        <v>35</v>
      </c>
      <c r="C33" s="106"/>
      <c r="D33" s="106"/>
      <c r="E33" s="106"/>
      <c r="F33" s="106"/>
      <c r="G33" s="106"/>
      <c r="H33" s="106"/>
      <c r="I33" s="107"/>
      <c r="J33" s="82">
        <f>SUM(J25:J32)</f>
        <v>1750000</v>
      </c>
      <c r="K33" s="47"/>
      <c r="L33" s="4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2"/>
    </row>
    <row r="34" spans="1:26" ht="18.75" customHeight="1">
      <c r="A34" s="108" t="s">
        <v>36</v>
      </c>
      <c r="B34" s="78" t="s">
        <v>37</v>
      </c>
      <c r="C34" s="71">
        <v>4</v>
      </c>
      <c r="D34" s="72" t="s">
        <v>51</v>
      </c>
      <c r="E34" s="73">
        <v>35</v>
      </c>
      <c r="F34" s="89" t="s">
        <v>58</v>
      </c>
      <c r="G34" s="86"/>
      <c r="H34" s="87"/>
      <c r="I34" s="77">
        <v>16000</v>
      </c>
      <c r="J34" s="77">
        <f t="shared" ref="J34" si="2">C34*E34*I34</f>
        <v>2240000</v>
      </c>
      <c r="K34" s="117" t="s">
        <v>66</v>
      </c>
      <c r="L34" s="46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2"/>
    </row>
    <row r="35" spans="1:26" ht="18.75" customHeight="1">
      <c r="A35" s="103"/>
      <c r="B35" s="78"/>
      <c r="C35" s="71"/>
      <c r="D35" s="72"/>
      <c r="E35" s="73"/>
      <c r="F35" s="89"/>
      <c r="G35" s="86"/>
      <c r="H35" s="87"/>
      <c r="I35" s="77"/>
      <c r="J35" s="77"/>
      <c r="K35" s="118"/>
      <c r="L35" s="4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2"/>
    </row>
    <row r="36" spans="1:26" ht="18.75" customHeight="1">
      <c r="A36" s="104"/>
      <c r="B36" s="109" t="s">
        <v>38</v>
      </c>
      <c r="C36" s="106"/>
      <c r="D36" s="106"/>
      <c r="E36" s="106"/>
      <c r="F36" s="106"/>
      <c r="G36" s="106"/>
      <c r="H36" s="106"/>
      <c r="I36" s="107"/>
      <c r="J36" s="82">
        <f>SUM(J34:J35)</f>
        <v>2240000</v>
      </c>
      <c r="K36" s="47"/>
      <c r="L36" s="4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2"/>
    </row>
    <row r="37" spans="1:26" ht="35" customHeight="1">
      <c r="A37" s="102" t="s">
        <v>39</v>
      </c>
      <c r="B37" s="70" t="s">
        <v>40</v>
      </c>
      <c r="C37" s="71">
        <v>4</v>
      </c>
      <c r="D37" s="72" t="s">
        <v>41</v>
      </c>
      <c r="E37" s="73">
        <v>30</v>
      </c>
      <c r="F37" s="89" t="s">
        <v>58</v>
      </c>
      <c r="G37" s="86"/>
      <c r="H37" s="87"/>
      <c r="I37" s="77">
        <v>30000</v>
      </c>
      <c r="J37" s="77">
        <f>C37*E37*I37</f>
        <v>3600000</v>
      </c>
      <c r="K37" s="92"/>
      <c r="L37" s="4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2"/>
    </row>
    <row r="38" spans="1:26" ht="18.75" customHeight="1">
      <c r="A38" s="103"/>
      <c r="B38" s="70" t="s">
        <v>42</v>
      </c>
      <c r="C38" s="71">
        <v>1</v>
      </c>
      <c r="D38" s="72" t="s">
        <v>59</v>
      </c>
      <c r="E38" s="73"/>
      <c r="F38" s="89"/>
      <c r="G38" s="86"/>
      <c r="H38" s="87"/>
      <c r="I38" s="77">
        <v>300000</v>
      </c>
      <c r="J38" s="77">
        <f t="shared" ref="J38" si="3">C38*I38</f>
        <v>300000</v>
      </c>
      <c r="K38" s="47"/>
      <c r="L38" s="4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2"/>
    </row>
    <row r="39" spans="1:26" ht="18.75" customHeight="1">
      <c r="A39" s="103"/>
      <c r="B39" s="90" t="s">
        <v>60</v>
      </c>
      <c r="C39" s="71">
        <v>1</v>
      </c>
      <c r="D39" s="72" t="s">
        <v>59</v>
      </c>
      <c r="E39" s="73"/>
      <c r="F39" s="89"/>
      <c r="G39" s="86"/>
      <c r="H39" s="87"/>
      <c r="I39" s="77">
        <v>2000000</v>
      </c>
      <c r="J39" s="77">
        <f>C39*I39</f>
        <v>2000000</v>
      </c>
      <c r="K39" s="47"/>
      <c r="L39" s="4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2"/>
    </row>
    <row r="40" spans="1:26" ht="18.75" customHeight="1">
      <c r="A40" s="104"/>
      <c r="B40" s="109" t="s">
        <v>61</v>
      </c>
      <c r="C40" s="106"/>
      <c r="D40" s="106"/>
      <c r="E40" s="106"/>
      <c r="F40" s="106"/>
      <c r="G40" s="106"/>
      <c r="H40" s="106"/>
      <c r="I40" s="107"/>
      <c r="J40" s="82">
        <f>SUM(J37:J39)</f>
        <v>5900000</v>
      </c>
      <c r="K40" s="47"/>
      <c r="L40" s="46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2"/>
    </row>
    <row r="41" spans="1:26" ht="18.75" customHeight="1">
      <c r="A41" s="110" t="s">
        <v>43</v>
      </c>
      <c r="B41" s="101"/>
      <c r="C41" s="111" t="s">
        <v>62</v>
      </c>
      <c r="D41" s="95"/>
      <c r="E41" s="95"/>
      <c r="F41" s="95"/>
      <c r="G41" s="95"/>
      <c r="H41" s="95"/>
      <c r="I41" s="101"/>
      <c r="J41" s="52">
        <f>SUM(J19,J21,J24,J33,J36,J40)</f>
        <v>20090000</v>
      </c>
      <c r="K41" s="50"/>
      <c r="L41" s="46"/>
      <c r="M41" s="9"/>
      <c r="N41" s="9"/>
      <c r="O41" s="9"/>
      <c r="P41" s="9"/>
      <c r="Q41" s="28"/>
      <c r="R41" s="28"/>
      <c r="S41" s="9"/>
      <c r="T41" s="9"/>
      <c r="U41" s="9"/>
      <c r="V41" s="9"/>
      <c r="W41" s="9"/>
      <c r="X41" s="9"/>
      <c r="Y41" s="9"/>
      <c r="Z41" s="12"/>
    </row>
    <row r="42" spans="1:26" ht="18.75" customHeight="1">
      <c r="A42" s="112" t="s">
        <v>44</v>
      </c>
      <c r="B42" s="101"/>
      <c r="C42" s="112" t="s">
        <v>45</v>
      </c>
      <c r="D42" s="95"/>
      <c r="E42" s="95"/>
      <c r="F42" s="95"/>
      <c r="G42" s="95"/>
      <c r="H42" s="95"/>
      <c r="I42" s="101"/>
      <c r="J42" s="48">
        <f>J41*0.1</f>
        <v>2009000</v>
      </c>
      <c r="K42" s="47"/>
      <c r="L42" s="46"/>
      <c r="M42" s="9"/>
      <c r="N42" s="9"/>
      <c r="O42" s="9"/>
      <c r="P42" s="9"/>
      <c r="Q42" s="28"/>
      <c r="R42" s="28"/>
      <c r="S42" s="9"/>
      <c r="T42" s="9"/>
      <c r="U42" s="9"/>
      <c r="V42" s="9"/>
      <c r="W42" s="9"/>
      <c r="X42" s="9"/>
      <c r="Y42" s="9"/>
      <c r="Z42" s="12"/>
    </row>
    <row r="43" spans="1:26" ht="18.75" customHeight="1">
      <c r="A43" s="113" t="s">
        <v>46</v>
      </c>
      <c r="B43" s="95"/>
      <c r="C43" s="95"/>
      <c r="D43" s="95"/>
      <c r="E43" s="95"/>
      <c r="F43" s="95"/>
      <c r="G43" s="95"/>
      <c r="H43" s="95"/>
      <c r="I43" s="101"/>
      <c r="J43" s="53">
        <f>ROUNDDOWN(J41+J42,-5)</f>
        <v>22000000</v>
      </c>
      <c r="K43" s="54" t="s">
        <v>47</v>
      </c>
      <c r="L43" s="4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2"/>
    </row>
    <row r="44" spans="1:26" ht="18.75" customHeight="1">
      <c r="A44" s="114"/>
      <c r="B44" s="101"/>
      <c r="C44" s="114"/>
      <c r="D44" s="95"/>
      <c r="E44" s="95"/>
      <c r="F44" s="95"/>
      <c r="G44" s="95"/>
      <c r="H44" s="95"/>
      <c r="I44" s="101"/>
      <c r="J44" s="48"/>
      <c r="K44" s="47"/>
      <c r="L44" s="4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2"/>
    </row>
    <row r="45" spans="1:26" ht="18.75" customHeight="1">
      <c r="A45" s="119" t="s">
        <v>67</v>
      </c>
      <c r="B45" s="55"/>
      <c r="C45" s="55"/>
      <c r="D45" s="55"/>
      <c r="E45" s="55"/>
      <c r="F45" s="55"/>
      <c r="G45" s="55"/>
      <c r="H45" s="55"/>
      <c r="I45" s="55"/>
      <c r="J45" s="55"/>
      <c r="K45" s="56"/>
      <c r="L45" s="11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2"/>
    </row>
    <row r="46" spans="1:26" ht="31.5" customHeight="1">
      <c r="A46" s="11"/>
      <c r="B46" s="9"/>
      <c r="C46" s="9"/>
      <c r="D46" s="9"/>
      <c r="E46" s="9"/>
      <c r="F46" s="9"/>
      <c r="G46" s="9"/>
      <c r="H46" s="9"/>
      <c r="I46" s="9"/>
      <c r="J46" s="9"/>
      <c r="K46" s="10"/>
      <c r="L46" s="11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2"/>
    </row>
    <row r="47" spans="1:26" ht="15" customHeight="1">
      <c r="A47" s="11"/>
      <c r="B47" s="9"/>
      <c r="C47" s="9"/>
      <c r="D47" s="9"/>
      <c r="E47" s="9"/>
      <c r="F47" s="9"/>
      <c r="G47" s="9"/>
      <c r="H47" s="9"/>
      <c r="I47" s="57"/>
      <c r="J47" s="9"/>
      <c r="K47" s="10"/>
      <c r="L47" s="11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2"/>
    </row>
    <row r="48" spans="1:26" ht="15" customHeight="1">
      <c r="A48" s="11"/>
      <c r="B48" s="9"/>
      <c r="C48" s="9"/>
      <c r="D48" s="9"/>
      <c r="E48" s="9"/>
      <c r="F48" s="9"/>
      <c r="G48" s="9"/>
      <c r="H48" s="9"/>
      <c r="I48" s="57"/>
      <c r="J48" s="9"/>
      <c r="K48" s="10"/>
      <c r="L48" s="11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2"/>
    </row>
    <row r="49" spans="1:26" ht="15" customHeight="1">
      <c r="A49" s="58"/>
      <c r="B49" s="59"/>
      <c r="C49" s="59"/>
      <c r="D49" s="59"/>
      <c r="E49" s="59"/>
      <c r="F49" s="59"/>
      <c r="G49" s="59"/>
      <c r="H49" s="59"/>
      <c r="I49" s="60"/>
      <c r="J49" s="59"/>
      <c r="K49" s="61"/>
      <c r="L49" s="11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2"/>
    </row>
    <row r="50" spans="1:26" ht="15.75" customHeight="1">
      <c r="A50" s="6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2"/>
    </row>
    <row r="51" spans="1:26" ht="15.75" customHeight="1">
      <c r="A51" s="6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2"/>
    </row>
    <row r="52" spans="1:26" ht="15.75" customHeight="1">
      <c r="A52" s="6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2"/>
    </row>
    <row r="53" spans="1:26" ht="15.75" customHeight="1">
      <c r="A53" s="6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2"/>
    </row>
    <row r="54" spans="1:26" ht="15.75" customHeight="1">
      <c r="A54" s="6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2"/>
    </row>
    <row r="55" spans="1:26" ht="15.75" customHeight="1">
      <c r="A55" s="6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2"/>
    </row>
    <row r="56" spans="1:26" ht="15.75" customHeight="1">
      <c r="A56" s="6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2"/>
    </row>
    <row r="57" spans="1:26" ht="15.75" customHeight="1">
      <c r="A57" s="6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2"/>
    </row>
    <row r="58" spans="1:26" ht="15.75" customHeight="1">
      <c r="A58" s="6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2"/>
    </row>
    <row r="59" spans="1:26" ht="15.75" customHeight="1">
      <c r="A59" s="6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2"/>
    </row>
    <row r="60" spans="1:26" ht="15.75" customHeight="1">
      <c r="A60" s="6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2"/>
    </row>
    <row r="61" spans="1:26" ht="15.75" customHeight="1">
      <c r="A61" s="6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2"/>
    </row>
    <row r="62" spans="1:26" ht="15.75" customHeight="1">
      <c r="A62" s="6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2"/>
    </row>
    <row r="63" spans="1:26" ht="15.75" customHeight="1">
      <c r="A63" s="6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2"/>
    </row>
    <row r="64" spans="1:26" ht="15.75" customHeight="1">
      <c r="A64" s="6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2"/>
    </row>
    <row r="65" spans="1:26" ht="15.75" customHeight="1">
      <c r="A65" s="6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2"/>
    </row>
    <row r="66" spans="1:26" ht="15.75" customHeight="1">
      <c r="A66" s="6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2"/>
    </row>
    <row r="67" spans="1:26" ht="15.75" customHeight="1">
      <c r="A67" s="6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2"/>
    </row>
    <row r="68" spans="1:26" ht="15.75" customHeight="1">
      <c r="A68" s="6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2"/>
    </row>
    <row r="69" spans="1:26" ht="15.75" customHeight="1">
      <c r="A69" s="6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2"/>
    </row>
    <row r="70" spans="1:26" ht="15.75" customHeight="1">
      <c r="A70" s="6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2"/>
    </row>
    <row r="71" spans="1:26" ht="15.75" customHeight="1">
      <c r="A71" s="6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2"/>
    </row>
    <row r="72" spans="1:26" ht="15.75" customHeight="1">
      <c r="A72" s="6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2"/>
    </row>
    <row r="73" spans="1:26" ht="15.75" customHeight="1">
      <c r="A73" s="6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2"/>
    </row>
    <row r="74" spans="1:26" ht="15.75" customHeight="1">
      <c r="A74" s="6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2"/>
    </row>
    <row r="75" spans="1:26" ht="15.75" customHeight="1">
      <c r="A75" s="6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2"/>
    </row>
    <row r="76" spans="1:26" ht="15.75" customHeight="1">
      <c r="A76" s="6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2"/>
    </row>
    <row r="77" spans="1:26" ht="15.75" customHeight="1">
      <c r="A77" s="6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2"/>
    </row>
    <row r="78" spans="1:26" ht="15.75" customHeight="1">
      <c r="A78" s="6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2"/>
    </row>
    <row r="79" spans="1:26" ht="15.75" customHeight="1">
      <c r="A79" s="6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2"/>
    </row>
    <row r="80" spans="1:26" ht="15.75" customHeight="1">
      <c r="A80" s="6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2"/>
    </row>
    <row r="81" spans="1:26" ht="15.75" customHeight="1">
      <c r="A81" s="6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2"/>
    </row>
    <row r="82" spans="1:26" ht="15.75" customHeight="1">
      <c r="A82" s="6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2"/>
    </row>
    <row r="83" spans="1:26" ht="15.75" customHeight="1">
      <c r="A83" s="6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2"/>
    </row>
    <row r="84" spans="1:26" ht="15.75" customHeight="1">
      <c r="A84" s="6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2"/>
    </row>
    <row r="85" spans="1:26" ht="15.75" customHeight="1">
      <c r="A85" s="6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2"/>
    </row>
    <row r="86" spans="1:26" ht="15.75" customHeight="1">
      <c r="A86" s="6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2"/>
    </row>
    <row r="87" spans="1:26" ht="15.75" customHeight="1">
      <c r="A87" s="6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2"/>
    </row>
    <row r="88" spans="1:26" ht="15.75" customHeight="1">
      <c r="A88" s="6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2"/>
    </row>
    <row r="89" spans="1:26" ht="15.75" customHeight="1">
      <c r="A89" s="6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2"/>
    </row>
    <row r="90" spans="1:26" ht="15.75" customHeight="1">
      <c r="A90" s="6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2"/>
    </row>
    <row r="91" spans="1:26" ht="15.75" customHeight="1">
      <c r="A91" s="6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2"/>
    </row>
    <row r="92" spans="1:26" ht="15.75" customHeight="1">
      <c r="A92" s="6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2"/>
    </row>
    <row r="93" spans="1:26" ht="15.75" customHeight="1">
      <c r="A93" s="6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2"/>
    </row>
    <row r="94" spans="1:26" ht="15.75" customHeight="1">
      <c r="A94" s="6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2"/>
    </row>
    <row r="95" spans="1:26" ht="15.75" customHeight="1">
      <c r="A95" s="6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2"/>
    </row>
    <row r="96" spans="1:26" ht="15.75" customHeight="1">
      <c r="A96" s="6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2"/>
    </row>
    <row r="97" spans="1:26" ht="15.75" customHeight="1">
      <c r="A97" s="6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2"/>
    </row>
    <row r="98" spans="1:26" ht="15.75" customHeight="1">
      <c r="A98" s="6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2"/>
    </row>
    <row r="99" spans="1:26" ht="15.75" customHeight="1">
      <c r="A99" s="6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2"/>
    </row>
    <row r="100" spans="1:26" ht="15.75" customHeight="1">
      <c r="A100" s="6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2"/>
    </row>
    <row r="101" spans="1:26" ht="15.75" customHeight="1">
      <c r="A101" s="6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2"/>
    </row>
    <row r="102" spans="1:26" ht="15.75" customHeight="1">
      <c r="A102" s="6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2"/>
    </row>
    <row r="103" spans="1:26" ht="15.75" customHeight="1">
      <c r="A103" s="6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2"/>
    </row>
    <row r="104" spans="1:26" ht="15.75" customHeight="1">
      <c r="A104" s="6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2"/>
    </row>
    <row r="105" spans="1:26" ht="15.75" customHeight="1">
      <c r="A105" s="6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2"/>
    </row>
    <row r="106" spans="1:26" ht="15.75" customHeight="1">
      <c r="A106" s="6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2"/>
    </row>
    <row r="107" spans="1:26" ht="15.75" customHeight="1">
      <c r="A107" s="6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2"/>
    </row>
    <row r="108" spans="1:26" ht="15.75" customHeight="1">
      <c r="A108" s="6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2"/>
    </row>
    <row r="109" spans="1:26" ht="15.75" customHeight="1">
      <c r="A109" s="6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2"/>
    </row>
    <row r="110" spans="1:26" ht="15.75" customHeight="1">
      <c r="A110" s="6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2"/>
    </row>
    <row r="111" spans="1:26" ht="15.75" customHeight="1">
      <c r="A111" s="6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2"/>
    </row>
    <row r="112" spans="1:26" ht="15.75" customHeight="1">
      <c r="A112" s="6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2"/>
    </row>
    <row r="113" spans="1:26" ht="15.75" customHeight="1">
      <c r="A113" s="6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2"/>
    </row>
    <row r="114" spans="1:26" ht="15.75" customHeight="1">
      <c r="A114" s="6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2"/>
    </row>
    <row r="115" spans="1:26" ht="15.75" customHeight="1">
      <c r="A115" s="6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2"/>
    </row>
    <row r="116" spans="1:26" ht="15.75" customHeight="1">
      <c r="A116" s="6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2"/>
    </row>
    <row r="117" spans="1:26" ht="15.75" customHeight="1">
      <c r="A117" s="6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2"/>
    </row>
    <row r="118" spans="1:26" ht="15.75" customHeight="1">
      <c r="A118" s="6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2"/>
    </row>
    <row r="119" spans="1:26" ht="15.75" customHeight="1">
      <c r="A119" s="6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2"/>
    </row>
    <row r="120" spans="1:26" ht="15.75" customHeight="1">
      <c r="A120" s="6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2"/>
    </row>
    <row r="121" spans="1:26" ht="15.75" customHeight="1">
      <c r="A121" s="6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2"/>
    </row>
    <row r="122" spans="1:26" ht="15.75" customHeight="1">
      <c r="A122" s="6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2"/>
    </row>
    <row r="123" spans="1:26" ht="15.75" customHeight="1">
      <c r="A123" s="6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2"/>
    </row>
    <row r="124" spans="1:26" ht="15.75" customHeight="1">
      <c r="A124" s="6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2"/>
    </row>
    <row r="125" spans="1:26" ht="15.75" customHeight="1">
      <c r="A125" s="6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2"/>
    </row>
    <row r="126" spans="1:26" ht="15.75" customHeight="1">
      <c r="A126" s="6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2"/>
    </row>
    <row r="127" spans="1:26" ht="15.75" customHeight="1">
      <c r="A127" s="6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2"/>
    </row>
    <row r="128" spans="1:26" ht="15.75" customHeight="1">
      <c r="A128" s="6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2"/>
    </row>
    <row r="129" spans="1:26" ht="15.75" customHeight="1">
      <c r="A129" s="6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2"/>
    </row>
    <row r="130" spans="1:26" ht="15.75" customHeight="1">
      <c r="A130" s="6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2"/>
    </row>
    <row r="131" spans="1:26" ht="15.75" customHeight="1">
      <c r="A131" s="6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2"/>
    </row>
    <row r="132" spans="1:26" ht="15.75" customHeight="1">
      <c r="A132" s="6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2"/>
    </row>
    <row r="133" spans="1:26" ht="15.75" customHeight="1">
      <c r="A133" s="6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2"/>
    </row>
    <row r="134" spans="1:26" ht="15.75" customHeight="1">
      <c r="A134" s="6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2"/>
    </row>
    <row r="135" spans="1:26" ht="15.75" customHeight="1">
      <c r="A135" s="6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2"/>
    </row>
    <row r="136" spans="1:26" ht="15.75" customHeight="1">
      <c r="A136" s="6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2"/>
    </row>
    <row r="137" spans="1:26" ht="15.75" customHeight="1">
      <c r="A137" s="6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2"/>
    </row>
    <row r="138" spans="1:26" ht="15.75" customHeight="1">
      <c r="A138" s="6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2"/>
    </row>
    <row r="139" spans="1:26" ht="15.75" customHeight="1">
      <c r="A139" s="6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2"/>
    </row>
    <row r="140" spans="1:26" ht="15.75" customHeight="1">
      <c r="A140" s="6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2"/>
    </row>
    <row r="141" spans="1:26" ht="15.75" customHeight="1">
      <c r="A141" s="6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2"/>
    </row>
    <row r="142" spans="1:26" ht="15.75" customHeight="1">
      <c r="A142" s="6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2"/>
    </row>
    <row r="143" spans="1:26" ht="15.75" customHeight="1">
      <c r="A143" s="6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2"/>
    </row>
    <row r="144" spans="1:26" ht="15.75" customHeight="1">
      <c r="A144" s="6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2"/>
    </row>
    <row r="145" spans="1:26" ht="15.75" customHeight="1">
      <c r="A145" s="6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2"/>
    </row>
    <row r="146" spans="1:26" ht="15.75" customHeight="1">
      <c r="A146" s="6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2"/>
    </row>
    <row r="147" spans="1:26" ht="15.75" customHeight="1">
      <c r="A147" s="6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2"/>
    </row>
    <row r="148" spans="1:26" ht="15.75" customHeight="1">
      <c r="A148" s="6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2"/>
    </row>
    <row r="149" spans="1:26" ht="15.75" customHeight="1">
      <c r="A149" s="6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2"/>
    </row>
    <row r="150" spans="1:26" ht="15.75" customHeight="1">
      <c r="A150" s="6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2"/>
    </row>
    <row r="151" spans="1:26" ht="15.75" customHeight="1">
      <c r="A151" s="6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2"/>
    </row>
    <row r="152" spans="1:26" ht="15.75" customHeight="1">
      <c r="A152" s="6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2"/>
    </row>
    <row r="153" spans="1:26" ht="15.75" customHeight="1">
      <c r="A153" s="6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2"/>
    </row>
    <row r="154" spans="1:26" ht="15.75" customHeight="1">
      <c r="A154" s="6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2"/>
    </row>
    <row r="155" spans="1:26" ht="15.75" customHeight="1">
      <c r="A155" s="6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2"/>
    </row>
    <row r="156" spans="1:26" ht="15.75" customHeight="1">
      <c r="A156" s="6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2"/>
    </row>
    <row r="157" spans="1:26" ht="15.75" customHeight="1">
      <c r="A157" s="6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2"/>
    </row>
    <row r="158" spans="1:26" ht="15.75" customHeight="1">
      <c r="A158" s="6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2"/>
    </row>
    <row r="159" spans="1:26" ht="15.75" customHeight="1">
      <c r="A159" s="6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2"/>
    </row>
    <row r="160" spans="1:26" ht="15.75" customHeight="1">
      <c r="A160" s="6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2"/>
    </row>
    <row r="161" spans="1:26" ht="15.75" customHeight="1">
      <c r="A161" s="6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2"/>
    </row>
    <row r="162" spans="1:26" ht="15.75" customHeight="1">
      <c r="A162" s="6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2"/>
    </row>
    <row r="163" spans="1:26" ht="15.75" customHeight="1">
      <c r="A163" s="6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2"/>
    </row>
    <row r="164" spans="1:26" ht="15.75" customHeight="1">
      <c r="A164" s="6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2"/>
    </row>
    <row r="165" spans="1:26" ht="15.75" customHeight="1">
      <c r="A165" s="6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2"/>
    </row>
    <row r="166" spans="1:26" ht="15.75" customHeight="1">
      <c r="A166" s="6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2"/>
    </row>
    <row r="167" spans="1:26" ht="15.75" customHeight="1">
      <c r="A167" s="6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2"/>
    </row>
    <row r="168" spans="1:26" ht="15.75" customHeight="1">
      <c r="A168" s="6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2"/>
    </row>
    <row r="169" spans="1:26" ht="15.75" customHeight="1">
      <c r="A169" s="6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2"/>
    </row>
    <row r="170" spans="1:26" ht="15.75" customHeight="1">
      <c r="A170" s="6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2"/>
    </row>
    <row r="171" spans="1:26" ht="15.75" customHeight="1">
      <c r="A171" s="6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2"/>
    </row>
    <row r="172" spans="1:26" ht="15.75" customHeight="1">
      <c r="A172" s="6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2"/>
    </row>
    <row r="173" spans="1:26" ht="15.75" customHeight="1">
      <c r="A173" s="6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2"/>
    </row>
    <row r="174" spans="1:26" ht="15.75" customHeight="1">
      <c r="A174" s="6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2"/>
    </row>
    <row r="175" spans="1:26" ht="15.75" customHeight="1">
      <c r="A175" s="6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2"/>
    </row>
    <row r="176" spans="1:26" ht="15.75" customHeight="1">
      <c r="A176" s="6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2"/>
    </row>
    <row r="177" spans="1:26" ht="15.75" customHeight="1">
      <c r="A177" s="6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2"/>
    </row>
    <row r="178" spans="1:26" ht="15.75" customHeight="1">
      <c r="A178" s="6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2"/>
    </row>
    <row r="179" spans="1:26" ht="15.75" customHeight="1">
      <c r="A179" s="6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2"/>
    </row>
    <row r="180" spans="1:26" ht="15.75" customHeight="1">
      <c r="A180" s="6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2"/>
    </row>
    <row r="181" spans="1:26" ht="15.75" customHeight="1">
      <c r="A181" s="6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2"/>
    </row>
    <row r="182" spans="1:26" ht="15.75" customHeight="1">
      <c r="A182" s="6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2"/>
    </row>
    <row r="183" spans="1:26" ht="15.75" customHeight="1">
      <c r="A183" s="6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2"/>
    </row>
    <row r="184" spans="1:26" ht="15.75" customHeight="1">
      <c r="A184" s="6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2"/>
    </row>
    <row r="185" spans="1:26" ht="15.75" customHeight="1">
      <c r="A185" s="6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2"/>
    </row>
    <row r="186" spans="1:26" ht="15.75" customHeight="1">
      <c r="A186" s="6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2"/>
    </row>
    <row r="187" spans="1:26" ht="15.75" customHeight="1">
      <c r="A187" s="6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2"/>
    </row>
    <row r="188" spans="1:26" ht="15.75" customHeight="1">
      <c r="A188" s="6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2"/>
    </row>
    <row r="189" spans="1:26" ht="15.75" customHeight="1">
      <c r="A189" s="6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2"/>
    </row>
    <row r="190" spans="1:26" ht="15.75" customHeight="1">
      <c r="A190" s="6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2"/>
    </row>
    <row r="191" spans="1:26" ht="15.75" customHeight="1">
      <c r="A191" s="6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2"/>
    </row>
    <row r="192" spans="1:26" ht="15.75" customHeight="1">
      <c r="A192" s="6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2"/>
    </row>
    <row r="193" spans="1:26" ht="15.75" customHeight="1">
      <c r="A193" s="6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2"/>
    </row>
    <row r="194" spans="1:26" ht="15.75" customHeight="1">
      <c r="A194" s="6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2"/>
    </row>
    <row r="195" spans="1:26" ht="15.75" customHeight="1">
      <c r="A195" s="6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2"/>
    </row>
    <row r="196" spans="1:26" ht="15.75" customHeight="1">
      <c r="A196" s="6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2"/>
    </row>
    <row r="197" spans="1:26" ht="15.75" customHeight="1">
      <c r="A197" s="6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2"/>
    </row>
    <row r="198" spans="1:26" ht="15.75" customHeight="1">
      <c r="A198" s="6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2"/>
    </row>
    <row r="199" spans="1:26" ht="15.75" customHeight="1">
      <c r="A199" s="6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2"/>
    </row>
    <row r="200" spans="1:26" ht="15.75" customHeight="1">
      <c r="A200" s="6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2"/>
    </row>
    <row r="201" spans="1:26" ht="15.75" customHeight="1">
      <c r="A201" s="6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2"/>
    </row>
    <row r="202" spans="1:26" ht="15.75" customHeight="1">
      <c r="A202" s="6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2"/>
    </row>
    <row r="203" spans="1:26" ht="15.75" customHeight="1">
      <c r="A203" s="6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2"/>
    </row>
    <row r="204" spans="1:26" ht="15.75" customHeight="1">
      <c r="A204" s="6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2"/>
    </row>
    <row r="205" spans="1:26" ht="15.75" customHeight="1">
      <c r="A205" s="6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2"/>
    </row>
    <row r="206" spans="1:26" ht="15.75" customHeight="1">
      <c r="A206" s="6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2"/>
    </row>
    <row r="207" spans="1:26" ht="15.75" customHeight="1">
      <c r="A207" s="6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2"/>
    </row>
    <row r="208" spans="1:26" ht="15.75" customHeight="1">
      <c r="A208" s="6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2"/>
    </row>
    <row r="209" spans="1:26" ht="15.75" customHeight="1">
      <c r="A209" s="6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2"/>
    </row>
    <row r="210" spans="1:26" ht="15.75" customHeight="1">
      <c r="A210" s="6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2"/>
    </row>
    <row r="211" spans="1:26" ht="15.75" customHeight="1">
      <c r="A211" s="6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2"/>
    </row>
    <row r="212" spans="1:26" ht="15.75" customHeight="1">
      <c r="A212" s="6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2"/>
    </row>
    <row r="213" spans="1:26" ht="15.75" customHeight="1">
      <c r="A213" s="6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2"/>
    </row>
    <row r="214" spans="1:26" ht="15.75" customHeight="1">
      <c r="A214" s="6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2"/>
    </row>
    <row r="215" spans="1:26" ht="15.75" customHeight="1">
      <c r="A215" s="6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2"/>
    </row>
    <row r="216" spans="1:26" ht="15.75" customHeight="1">
      <c r="A216" s="6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2"/>
    </row>
    <row r="217" spans="1:26" ht="15.75" customHeight="1">
      <c r="A217" s="6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2"/>
    </row>
    <row r="218" spans="1:26" ht="15.75" customHeight="1">
      <c r="A218" s="6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2"/>
    </row>
    <row r="219" spans="1:26" ht="15.75" customHeight="1">
      <c r="A219" s="6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2"/>
    </row>
    <row r="220" spans="1:26" ht="15.75" customHeight="1">
      <c r="A220" s="6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2"/>
    </row>
    <row r="221" spans="1:26" ht="15.75" customHeight="1">
      <c r="A221" s="6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2"/>
    </row>
    <row r="222" spans="1:26" ht="15.75" customHeight="1">
      <c r="A222" s="6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2"/>
    </row>
    <row r="223" spans="1:26" ht="15.75" customHeight="1">
      <c r="A223" s="6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2"/>
    </row>
    <row r="224" spans="1:26" ht="15.75" customHeight="1">
      <c r="A224" s="6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2"/>
    </row>
    <row r="225" spans="1:26" ht="15.75" customHeight="1">
      <c r="A225" s="6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2"/>
    </row>
    <row r="226" spans="1:26" ht="15.75" customHeight="1">
      <c r="A226" s="6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2"/>
    </row>
    <row r="227" spans="1:26" ht="15.75" customHeight="1">
      <c r="A227" s="6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2"/>
    </row>
    <row r="228" spans="1:26" ht="15.75" customHeight="1">
      <c r="A228" s="6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2"/>
    </row>
    <row r="229" spans="1:26" ht="15.75" customHeight="1">
      <c r="A229" s="6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2"/>
    </row>
    <row r="230" spans="1:26" ht="15.75" customHeight="1">
      <c r="A230" s="6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2"/>
    </row>
    <row r="231" spans="1:26" ht="15.75" customHeight="1">
      <c r="A231" s="6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2"/>
    </row>
    <row r="232" spans="1:26" ht="15.75" customHeight="1">
      <c r="A232" s="6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2"/>
    </row>
    <row r="233" spans="1:26" ht="15.75" customHeight="1">
      <c r="A233" s="6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2"/>
    </row>
    <row r="234" spans="1:26" ht="15.75" customHeight="1">
      <c r="A234" s="6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2"/>
    </row>
    <row r="235" spans="1:26" ht="15.75" customHeight="1">
      <c r="A235" s="6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2"/>
    </row>
    <row r="236" spans="1:26" ht="15.75" customHeight="1">
      <c r="A236" s="6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2"/>
    </row>
    <row r="237" spans="1:26" ht="15.75" customHeight="1">
      <c r="A237" s="6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2"/>
    </row>
    <row r="238" spans="1:26" ht="15.75" customHeight="1">
      <c r="A238" s="6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2"/>
    </row>
    <row r="239" spans="1:26" ht="15.75" customHeight="1">
      <c r="A239" s="6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2"/>
    </row>
    <row r="240" spans="1:26" ht="15.75" customHeight="1">
      <c r="A240" s="6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2"/>
    </row>
    <row r="241" spans="1:26" ht="15.75" customHeight="1">
      <c r="A241" s="6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2"/>
    </row>
    <row r="242" spans="1:26" ht="15.75" customHeight="1">
      <c r="A242" s="6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2"/>
    </row>
    <row r="243" spans="1:26" ht="15.75" customHeight="1">
      <c r="A243" s="6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2"/>
    </row>
    <row r="244" spans="1:26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.75" customHeight="1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.75" customHeight="1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</sheetData>
  <mergeCells count="23">
    <mergeCell ref="K34:K35"/>
    <mergeCell ref="A42:B42"/>
    <mergeCell ref="C42:I42"/>
    <mergeCell ref="A43:I43"/>
    <mergeCell ref="A44:B44"/>
    <mergeCell ref="C44:I44"/>
    <mergeCell ref="A20:A21"/>
    <mergeCell ref="B21:I21"/>
    <mergeCell ref="B40:I40"/>
    <mergeCell ref="A41:B41"/>
    <mergeCell ref="C41:I41"/>
    <mergeCell ref="A22:A24"/>
    <mergeCell ref="B24:I24"/>
    <mergeCell ref="A25:A33"/>
    <mergeCell ref="B33:I33"/>
    <mergeCell ref="A34:A36"/>
    <mergeCell ref="B36:I36"/>
    <mergeCell ref="A37:A40"/>
    <mergeCell ref="F7:K7"/>
    <mergeCell ref="I10:K10"/>
    <mergeCell ref="C12:H12"/>
    <mergeCell ref="A13:A19"/>
    <mergeCell ref="B19:I19"/>
  </mergeCells>
  <phoneticPr fontId="15" type="noConversion"/>
  <pageMargins left="0.23622000000000001" right="0.23622000000000001" top="0.748031" bottom="0.748031" header="0" footer="0"/>
  <pageSetup scale="95" orientation="portrait"/>
  <headerFooter>
    <oddFooter>&amp;C000000000000&amp;P</oddFooter>
  </headerFooter>
  <ignoredErrors>
    <ignoredError sqref="J24 J36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견적서_위니브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hojun lee</cp:lastModifiedBy>
  <dcterms:created xsi:type="dcterms:W3CDTF">2024-09-23T05:39:59Z</dcterms:created>
  <dcterms:modified xsi:type="dcterms:W3CDTF">2025-11-06T08:07:22Z</dcterms:modified>
</cp:coreProperties>
</file>